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ytics Activity" sheetId="1" r:id="rId5"/>
    <sheet state="hidden" name="Claim_Codes" sheetId="2" r:id="rId6"/>
  </sheets>
  <definedNames/>
  <calcPr/>
</workbook>
</file>

<file path=xl/sharedStrings.xml><?xml version="1.0" encoding="utf-8"?>
<sst xmlns="http://schemas.openxmlformats.org/spreadsheetml/2006/main" count="72" uniqueCount="59">
  <si>
    <t>Track 201 · Module 3 · Lesson 2</t>
  </si>
  <si>
    <t>Instructions: For each scenario (MLB, NBA, NFL), pick between 2 and 5 players depending on Scenario . Stay under the budget and use the analytics to build the most efficient group.</t>
  </si>
  <si>
    <t>Modeling the Market: Analytics Deep Dive</t>
  </si>
  <si>
    <t>Scenario 1 – MLB: Replace a Star Hitter</t>
  </si>
  <si>
    <t>Pick? ✅</t>
  </si>
  <si>
    <t>Player</t>
  </si>
  <si>
    <t>OBP</t>
  </si>
  <si>
    <t>SLG</t>
  </si>
  <si>
    <t>OPS</t>
  </si>
  <si>
    <t>WAR</t>
  </si>
  <si>
    <t>wRC+</t>
  </si>
  <si>
    <t>Salary ($M)</t>
  </si>
  <si>
    <t>Adrian Cortez</t>
  </si>
  <si>
    <t>MLB Summary</t>
  </si>
  <si>
    <t>Logan Devers</t>
  </si>
  <si>
    <t>Selected Players</t>
  </si>
  <si>
    <t>Marcus Hall</t>
  </si>
  <si>
    <t>Total Salary</t>
  </si>
  <si>
    <t>Eli Turner</t>
  </si>
  <si>
    <t>WAR per $M</t>
  </si>
  <si>
    <t>Jordan Kim</t>
  </si>
  <si>
    <t>Result</t>
  </si>
  <si>
    <t>Trey Delgado</t>
  </si>
  <si>
    <t>Kevin Morales</t>
  </si>
  <si>
    <t>Sam Donnelly</t>
  </si>
  <si>
    <t>Scenario 2 – NBA: Build an Efficient Playoff Lineup</t>
  </si>
  <si>
    <t>MLB Scenario Score</t>
  </si>
  <si>
    <t>TS%</t>
  </si>
  <si>
    <t>Usage %</t>
  </si>
  <si>
    <t>BPM</t>
  </si>
  <si>
    <t>ORtg</t>
  </si>
  <si>
    <t>DRtg</t>
  </si>
  <si>
    <t>Darius Flint</t>
  </si>
  <si>
    <t>NBA Summary</t>
  </si>
  <si>
    <t>Malik Hartwell</t>
  </si>
  <si>
    <t>Theo McKnight</t>
  </si>
  <si>
    <t>Jalen Rivers</t>
  </si>
  <si>
    <t>Scenario Score</t>
  </si>
  <si>
    <t>Rico Valentine</t>
  </si>
  <si>
    <t>Owen Carter</t>
  </si>
  <si>
    <t>Chris Donahue</t>
  </si>
  <si>
    <t>Grant Lyles</t>
  </si>
  <si>
    <t>Scenario 3 – NFL: Fix a Broken Offense</t>
  </si>
  <si>
    <t>NBA Scenario Score</t>
  </si>
  <si>
    <t>EPA/play</t>
  </si>
  <si>
    <t>CPOE</t>
  </si>
  <si>
    <t>Success Rate</t>
  </si>
  <si>
    <t>DVOA</t>
  </si>
  <si>
    <t>Age</t>
  </si>
  <si>
    <t>Caleb Whitmore</t>
  </si>
  <si>
    <t>NFL Summary</t>
  </si>
  <si>
    <t>Jordan Beckett</t>
  </si>
  <si>
    <t>Zachary Cole</t>
  </si>
  <si>
    <t>Mason Taylor</t>
  </si>
  <si>
    <t>Isaiah Holt</t>
  </si>
  <si>
    <t>Devin Morrison</t>
  </si>
  <si>
    <t>Evan Sutter</t>
  </si>
  <si>
    <t>Tyler Ames</t>
  </si>
  <si>
    <t>201-M3-L2-MODEL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</si>
</sst>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Fill="1" applyFont="1"/>
    <xf borderId="0" fillId="3" fontId="1" numFmtId="0" xfId="0" applyFill="1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38"/>
    <col customWidth="1" min="2" max="2" width="33.13"/>
    <col customWidth="1" min="7" max="7" width="15.25"/>
    <col customWidth="1" min="9" max="9" width="27.13"/>
    <col customWidth="1" min="10" max="10" width="15.88"/>
  </cols>
  <sheetData>
    <row r="1">
      <c r="A1" s="1" t="s">
        <v>0</v>
      </c>
      <c r="B1" s="1" t="s">
        <v>1</v>
      </c>
      <c r="J1" s="1" t="s">
        <v>2</v>
      </c>
    </row>
    <row r="2">
      <c r="A2" s="1" t="s">
        <v>3</v>
      </c>
      <c r="B2" s="2" t="str">
        <f>IF(
  AND(
    LEFT(J8,4)="PASS",
    LEFT(J20,4)="PASS",
    LEFT(J32,4)="PASS"
  ),
  "CLEARED – all scenarios passed",
  "IN PROGRESS"
)
</f>
        <v>IN PROGRESS</v>
      </c>
      <c r="C2" s="3" t="str">
        <f>IF(
  LEFT($B$2,7)="CLEARED",
  Claim_Codes!$B$4,
  "—"
)
</f>
        <v>—</v>
      </c>
    </row>
    <row r="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</row>
    <row r="4">
      <c r="A4" s="1" t="b">
        <v>0</v>
      </c>
      <c r="B4" s="1" t="s">
        <v>12</v>
      </c>
      <c r="C4" s="1">
        <v>0.355</v>
      </c>
      <c r="D4" s="1">
        <v>0.44</v>
      </c>
      <c r="E4" s="1">
        <v>0.795</v>
      </c>
      <c r="F4" s="1">
        <v>3.2</v>
      </c>
      <c r="G4" s="1">
        <v>118.0</v>
      </c>
      <c r="H4" s="1">
        <v>14.0</v>
      </c>
      <c r="I4" s="1" t="s">
        <v>13</v>
      </c>
    </row>
    <row r="5">
      <c r="A5" s="1" t="b">
        <v>0</v>
      </c>
      <c r="B5" s="1" t="s">
        <v>14</v>
      </c>
      <c r="C5" s="1">
        <v>0.32</v>
      </c>
      <c r="D5" s="1">
        <v>0.41</v>
      </c>
      <c r="E5" s="1">
        <v>0.73</v>
      </c>
      <c r="F5" s="1">
        <v>2.6</v>
      </c>
      <c r="G5" s="1">
        <v>105.0</v>
      </c>
      <c r="H5" s="1">
        <v>12.0</v>
      </c>
      <c r="I5" s="1" t="s">
        <v>15</v>
      </c>
      <c r="J5" s="4">
        <f>COUNTIF($A$4:$A$11, TRUE)</f>
        <v>0</v>
      </c>
    </row>
    <row r="6">
      <c r="A6" s="1" t="b">
        <v>0</v>
      </c>
      <c r="B6" s="1" t="s">
        <v>16</v>
      </c>
      <c r="C6" s="1">
        <v>0.3</v>
      </c>
      <c r="D6" s="1">
        <v>0.38</v>
      </c>
      <c r="E6" s="1">
        <v>0.68</v>
      </c>
      <c r="F6" s="1">
        <v>1.8</v>
      </c>
      <c r="G6" s="1">
        <v>95.0</v>
      </c>
      <c r="H6" s="1">
        <v>9.0</v>
      </c>
      <c r="I6" s="1" t="s">
        <v>17</v>
      </c>
      <c r="J6" s="4">
        <f>SUMIF($A$5:$A$11, TRUE, $H$5:$H$11)</f>
        <v>0</v>
      </c>
    </row>
    <row r="7">
      <c r="A7" s="1" t="b">
        <v>0</v>
      </c>
      <c r="B7" s="1" t="s">
        <v>18</v>
      </c>
      <c r="C7" s="1">
        <v>0.34</v>
      </c>
      <c r="D7" s="1">
        <v>0.47</v>
      </c>
      <c r="E7" s="1">
        <v>0.81</v>
      </c>
      <c r="F7" s="1">
        <v>3.8</v>
      </c>
      <c r="G7" s="1">
        <v>125.0</v>
      </c>
      <c r="H7" s="1">
        <v>18.0</v>
      </c>
      <c r="I7" s="1" t="s">
        <v>19</v>
      </c>
      <c r="J7" s="4" t="str">
        <f>IF(J6=0,"", SUMIF($A$5:$A$11, TRUE, $F$5:$F$11) / J6)</f>
        <v/>
      </c>
    </row>
    <row r="8">
      <c r="A8" s="1" t="b">
        <v>0</v>
      </c>
      <c r="B8" s="1" t="s">
        <v>20</v>
      </c>
      <c r="C8" s="1">
        <v>0.29</v>
      </c>
      <c r="D8" s="1">
        <v>0.36</v>
      </c>
      <c r="E8" s="1">
        <v>0.65</v>
      </c>
      <c r="F8" s="1">
        <v>1.2</v>
      </c>
      <c r="G8" s="1">
        <v>88.0</v>
      </c>
      <c r="H8" s="1">
        <v>7.0</v>
      </c>
      <c r="I8" s="1" t="s">
        <v>21</v>
      </c>
      <c r="J8" s="4" t="str">
        <f>IF(J5=0,"",
 IF(J5&lt;2,"FAIL – pick 2–4 players",
 IF(J5&gt;4,"FAIL – pick 2–4 players",
 IF(J6&gt;40,"FAIL – over budget",
 IF(AVERAGEIF($A$5:$A$11, TRUE, $C$5:$C$11)&lt;0.33,"FAIL – OBP too low",
 IF(AVERAGEIF($A$5:$A$11, TRUE, $G$5:$G$11)&lt;105,"FAIL – wRC+ too low",
 IF(J7&lt;0.12,"FAIL – WAR efficiency too low",
 "PASS ✅"
 )))))))
</f>
        <v/>
      </c>
    </row>
    <row r="9">
      <c r="A9" s="1" t="b">
        <v>0</v>
      </c>
      <c r="B9" s="1" t="s">
        <v>22</v>
      </c>
      <c r="C9" s="1">
        <v>0.375</v>
      </c>
      <c r="D9" s="1">
        <v>0.52</v>
      </c>
      <c r="E9" s="1">
        <v>0.895</v>
      </c>
      <c r="F9" s="1">
        <v>4.5</v>
      </c>
      <c r="G9" s="1">
        <v>140.0</v>
      </c>
      <c r="H9" s="1">
        <v>22.0</v>
      </c>
    </row>
    <row r="10">
      <c r="A10" s="1"/>
      <c r="B10" s="1" t="s">
        <v>23</v>
      </c>
      <c r="C10" s="1">
        <v>0.31</v>
      </c>
      <c r="D10" s="1">
        <v>0.39</v>
      </c>
      <c r="E10" s="1">
        <v>0.7</v>
      </c>
      <c r="F10" s="1">
        <v>2.0</v>
      </c>
      <c r="G10" s="1">
        <v>98.0</v>
      </c>
      <c r="H10" s="1">
        <v>11.0</v>
      </c>
    </row>
    <row r="11">
      <c r="A11" s="1"/>
      <c r="B11" s="1" t="s">
        <v>24</v>
      </c>
      <c r="C11" s="1">
        <v>0.333</v>
      </c>
      <c r="D11" s="1">
        <v>0.45</v>
      </c>
      <c r="E11" s="1">
        <v>0.783</v>
      </c>
      <c r="F11" s="1">
        <v>2.9</v>
      </c>
      <c r="G11" s="1">
        <v>112.0</v>
      </c>
      <c r="H11" s="1">
        <v>13.0</v>
      </c>
    </row>
    <row r="12">
      <c r="A12" s="1" t="s">
        <v>25</v>
      </c>
    </row>
    <row r="13">
      <c r="A13" s="1"/>
      <c r="B13" s="1" t="s">
        <v>26</v>
      </c>
      <c r="C13" s="1">
        <f>IF(
  COUNTIF($A$5:$A$12, TRUE) &lt; 2,
  0,
  IF(
    SUMIF($A$5:$A$12, TRUE, $F$5:$F$12) &lt; 5,
    0,
    IF(
      SUMIF($A$5:$A$12, TRUE, $H$5:$H$12) &gt; 32,
      0,
      AVERAGEIF($A$5:$A$12, TRUE, $I$5:$I$12)
    )
  )
)
</f>
        <v>0</v>
      </c>
      <c r="D13" s="1"/>
      <c r="E13" s="1"/>
      <c r="F13" s="1"/>
      <c r="G13" s="1"/>
      <c r="H13" s="1"/>
      <c r="I13" s="1"/>
    </row>
    <row r="14">
      <c r="A14" s="1"/>
      <c r="B14" s="1"/>
      <c r="C14" s="1"/>
      <c r="D14" s="1"/>
      <c r="E14" s="1"/>
      <c r="F14" s="1"/>
      <c r="G14" s="1"/>
      <c r="H14" s="1"/>
      <c r="I14" s="1"/>
    </row>
    <row r="15">
      <c r="A15" s="1" t="s">
        <v>4</v>
      </c>
      <c r="B15" s="1" t="s">
        <v>5</v>
      </c>
      <c r="C15" s="1" t="s">
        <v>27</v>
      </c>
      <c r="D15" s="1" t="s">
        <v>28</v>
      </c>
      <c r="E15" s="1" t="s">
        <v>29</v>
      </c>
      <c r="F15" s="1" t="s">
        <v>30</v>
      </c>
      <c r="G15" s="1" t="s">
        <v>31</v>
      </c>
      <c r="H15" s="1" t="s">
        <v>11</v>
      </c>
    </row>
    <row r="16">
      <c r="A16" s="1" t="b">
        <v>0</v>
      </c>
      <c r="B16" s="1" t="s">
        <v>32</v>
      </c>
      <c r="C16" s="1">
        <v>0.615</v>
      </c>
      <c r="D16" s="1">
        <v>22.0</v>
      </c>
      <c r="E16" s="1">
        <v>3.6</v>
      </c>
      <c r="F16" s="1">
        <v>119.0</v>
      </c>
      <c r="G16" s="1">
        <v>111.0</v>
      </c>
      <c r="H16" s="1">
        <v>18.0</v>
      </c>
      <c r="I16" s="1" t="s">
        <v>33</v>
      </c>
    </row>
    <row r="17">
      <c r="A17" s="1" t="b">
        <v>0</v>
      </c>
      <c r="B17" s="1" t="s">
        <v>34</v>
      </c>
      <c r="C17" s="1">
        <v>0.577</v>
      </c>
      <c r="D17" s="1">
        <v>26.0</v>
      </c>
      <c r="E17" s="1">
        <v>2.9</v>
      </c>
      <c r="F17" s="1">
        <v>116.0</v>
      </c>
      <c r="G17" s="1">
        <v>113.0</v>
      </c>
      <c r="H17" s="1">
        <v>16.0</v>
      </c>
      <c r="I17" s="1" t="s">
        <v>15</v>
      </c>
      <c r="J17" s="4">
        <f>COUNTIF($A$16:$A$23, TRUE)</f>
        <v>0</v>
      </c>
    </row>
    <row r="18">
      <c r="A18" s="1" t="b">
        <v>0</v>
      </c>
      <c r="B18" s="1" t="s">
        <v>35</v>
      </c>
      <c r="C18" s="1">
        <v>0.592</v>
      </c>
      <c r="D18" s="1">
        <v>18.0</v>
      </c>
      <c r="E18" s="1">
        <v>4.8</v>
      </c>
      <c r="F18" s="1">
        <v>122.0</v>
      </c>
      <c r="G18" s="1">
        <v>108.0</v>
      </c>
      <c r="H18" s="1">
        <v>12.0</v>
      </c>
      <c r="I18" s="1" t="s">
        <v>17</v>
      </c>
      <c r="J18" s="4">
        <f>SUMIF($A$17:$A$23, TRUE, $H$17:$H$23)</f>
        <v>0</v>
      </c>
    </row>
    <row r="19">
      <c r="A19" s="1" t="b">
        <v>0</v>
      </c>
      <c r="B19" s="1" t="s">
        <v>36</v>
      </c>
      <c r="C19" s="1">
        <v>0.605</v>
      </c>
      <c r="D19" s="1">
        <v>28.0</v>
      </c>
      <c r="E19" s="1">
        <v>1.4</v>
      </c>
      <c r="F19" s="1">
        <v>114.0</v>
      </c>
      <c r="G19" s="1">
        <v>117.0</v>
      </c>
      <c r="H19" s="1">
        <v>14.0</v>
      </c>
      <c r="I19" s="1" t="s">
        <v>37</v>
      </c>
      <c r="J19" s="4" t="str">
        <f>IF(J17=0,"",
  AVERAGEIF($A$17:$A$23, TRUE, $C$17:$C$23) * 40
+ AVERAGEIF($A$17:$A$23, TRUE, $E$17:$E$23) * 2
+ (AVERAGEIF($A$17:$A$23, TRUE, $F$17:$F$23) - AVERAGEIF($A$17:$A$23, TRUE, $G$17:$G$23)) / 2
)
</f>
        <v/>
      </c>
    </row>
    <row r="20">
      <c r="A20" s="1" t="b">
        <v>0</v>
      </c>
      <c r="B20" s="1" t="s">
        <v>38</v>
      </c>
      <c r="C20" s="1">
        <v>0.563</v>
      </c>
      <c r="D20" s="1">
        <v>24.0</v>
      </c>
      <c r="E20" s="1">
        <v>0.5</v>
      </c>
      <c r="F20" s="1">
        <v>111.0</v>
      </c>
      <c r="G20" s="1">
        <v>115.0</v>
      </c>
      <c r="H20" s="1">
        <v>9.0</v>
      </c>
      <c r="I20" s="1" t="s">
        <v>21</v>
      </c>
      <c r="J20" s="1" t="str">
        <f>IF(J17=0,"",
 IF(J17&lt;3,"FAIL – pick 3–5 players",
 IF(J17&gt;5,"FAIL – pick 3–5 players",
 IF(J18&gt;75,"FAIL – over budget",
 IF(AVERAGEIF($A$17:$A$23, TRUE, $C$17:$C$23)&lt;0.57,"FAIL – TS% too low",
 IF(AVERAGEIF($A$17:$A$23, TRUE, $E$17:$E$23)&lt;1.5,"FAIL – BPM too low",
 IF(AVERAGEIF($A$17:$A$23, TRUE, $F$17:$F$23)&lt;113,"FAIL – ORtg too low",
 IF(AVERAGEIF($A$17:$A$23, TRUE, $G$17:$G$23)&gt;115,"FAIL – defense too weak",
 "PASS ✅"
 ))))))))
</f>
        <v/>
      </c>
    </row>
    <row r="21">
      <c r="A21" s="1" t="b">
        <v>0</v>
      </c>
      <c r="B21" s="1" t="s">
        <v>39</v>
      </c>
      <c r="C21" s="1">
        <v>0.541</v>
      </c>
      <c r="D21" s="1">
        <v>17.0</v>
      </c>
      <c r="E21" s="1">
        <v>-0.3</v>
      </c>
      <c r="F21" s="1">
        <v>108.0</v>
      </c>
      <c r="G21" s="1">
        <v>118.0</v>
      </c>
      <c r="H21" s="1">
        <v>6.0</v>
      </c>
    </row>
    <row r="22">
      <c r="A22" s="1" t="b">
        <v>0</v>
      </c>
      <c r="B22" s="1" t="s">
        <v>40</v>
      </c>
      <c r="C22" s="1">
        <v>0.603</v>
      </c>
      <c r="D22" s="1">
        <v>30.0</v>
      </c>
      <c r="E22" s="1">
        <v>5.1</v>
      </c>
      <c r="F22" s="1">
        <v>123.0</v>
      </c>
      <c r="G22" s="1">
        <v>110.0</v>
      </c>
      <c r="H22" s="1">
        <v>26.0</v>
      </c>
    </row>
    <row r="23">
      <c r="A23" s="1" t="b">
        <v>0</v>
      </c>
      <c r="B23" s="1" t="s">
        <v>41</v>
      </c>
      <c r="C23" s="1">
        <v>0.585</v>
      </c>
      <c r="D23" s="1">
        <v>21.0</v>
      </c>
      <c r="E23" s="1">
        <v>3.2</v>
      </c>
      <c r="F23" s="1">
        <v>118.0</v>
      </c>
      <c r="G23" s="1">
        <v>112.0</v>
      </c>
      <c r="H23" s="1">
        <v>15.0</v>
      </c>
    </row>
    <row r="24">
      <c r="A24" s="1"/>
      <c r="J24" s="1"/>
      <c r="K24" s="1"/>
      <c r="L24" s="1"/>
    </row>
    <row r="25">
      <c r="A25" s="1" t="s">
        <v>42</v>
      </c>
      <c r="J25" s="1"/>
      <c r="K25" s="1"/>
      <c r="L25" s="1"/>
    </row>
    <row r="26">
      <c r="B26" s="1" t="s">
        <v>43</v>
      </c>
    </row>
    <row r="27">
      <c r="A27" s="1" t="s">
        <v>4</v>
      </c>
      <c r="B27" s="1" t="s">
        <v>5</v>
      </c>
      <c r="C27" s="1" t="s">
        <v>44</v>
      </c>
      <c r="D27" s="1" t="s">
        <v>45</v>
      </c>
      <c r="E27" s="1" t="s">
        <v>46</v>
      </c>
      <c r="F27" s="1" t="s">
        <v>47</v>
      </c>
      <c r="G27" s="1" t="s">
        <v>48</v>
      </c>
      <c r="H27" s="1" t="s">
        <v>11</v>
      </c>
    </row>
    <row r="28">
      <c r="A28" s="1" t="b">
        <v>0</v>
      </c>
      <c r="B28" s="1" t="s">
        <v>49</v>
      </c>
      <c r="C28" s="1">
        <v>0.18</v>
      </c>
      <c r="D28" s="1">
        <v>4.5</v>
      </c>
      <c r="E28" s="1">
        <v>54.0</v>
      </c>
      <c r="F28" s="1">
        <v>22.0</v>
      </c>
      <c r="G28" s="1">
        <v>27.0</v>
      </c>
      <c r="H28" s="1">
        <v>21.0</v>
      </c>
      <c r="I28" s="1" t="s">
        <v>50</v>
      </c>
    </row>
    <row r="29">
      <c r="A29" s="4" t="b">
        <v>0</v>
      </c>
      <c r="B29" s="1" t="s">
        <v>51</v>
      </c>
      <c r="C29" s="1">
        <v>0.11</v>
      </c>
      <c r="D29" s="1">
        <v>0.8</v>
      </c>
      <c r="E29" s="1">
        <v>49.0</v>
      </c>
      <c r="F29" s="1">
        <v>15.0</v>
      </c>
      <c r="G29" s="1">
        <v>26.0</v>
      </c>
      <c r="H29" s="1">
        <v>14.0</v>
      </c>
      <c r="I29" s="1" t="s">
        <v>15</v>
      </c>
      <c r="J29" s="4">
        <f>COUNTIF($A$28:$A$35, TRUE)</f>
        <v>0</v>
      </c>
    </row>
    <row r="30">
      <c r="A30" s="1" t="b">
        <v>0</v>
      </c>
      <c r="B30" s="1" t="s">
        <v>52</v>
      </c>
      <c r="C30" s="1">
        <v>0.04</v>
      </c>
      <c r="D30" s="1">
        <v>-0.2</v>
      </c>
      <c r="E30" s="1">
        <v>47.0</v>
      </c>
      <c r="F30" s="1">
        <v>4.0</v>
      </c>
      <c r="G30" s="1">
        <v>24.0</v>
      </c>
      <c r="H30" s="1">
        <v>9.0</v>
      </c>
      <c r="I30" s="1" t="s">
        <v>17</v>
      </c>
      <c r="J30" s="4">
        <f>SUMIF($A$28:$A$35, TRUE, $H$28:$H$35)</f>
        <v>0</v>
      </c>
    </row>
    <row r="31">
      <c r="A31" s="4" t="b">
        <v>0</v>
      </c>
      <c r="B31" s="1" t="s">
        <v>53</v>
      </c>
      <c r="C31" s="1">
        <v>-0.02</v>
      </c>
      <c r="D31" s="1">
        <v>-3.5</v>
      </c>
      <c r="E31" s="1">
        <v>44.0</v>
      </c>
      <c r="F31" s="1">
        <v>-6.0</v>
      </c>
      <c r="G31" s="1">
        <v>25.0</v>
      </c>
      <c r="H31" s="1">
        <v>6.0</v>
      </c>
      <c r="I31" s="1" t="s">
        <v>37</v>
      </c>
      <c r="J31" s="4" t="str">
        <f>IF(J29=0,"",
  AVERAGEIF($A$28:$A$35, TRUE, $C$28:$C$35) * 200
+ AVERAGEIF($A$28:$A$35, TRUE, $D$28:$D$35) * 3
+ AVERAGEIF($A$28:$A$35, TRUE, $E$28:$E$35) * 0.5
+ AVERAGEIF($A$28:$A$35, TRUE, $F$28:$F$35) * 0.5
- AVERAGEIF($A$28:$A$35, TRUE, $G$28:$G$35) * 0.4
)
</f>
        <v/>
      </c>
    </row>
    <row r="32">
      <c r="A32" s="1" t="b">
        <v>0</v>
      </c>
      <c r="B32" s="1" t="s">
        <v>54</v>
      </c>
      <c r="C32" s="1">
        <v>0.16</v>
      </c>
      <c r="D32" s="1">
        <v>3.3</v>
      </c>
      <c r="E32" s="1">
        <v>51.0</v>
      </c>
      <c r="F32" s="1">
        <v>18.0</v>
      </c>
      <c r="G32" s="1">
        <v>26.0</v>
      </c>
      <c r="H32" s="1">
        <v>19.0</v>
      </c>
      <c r="I32" s="1" t="s">
        <v>21</v>
      </c>
      <c r="J32" s="4" t="str">
        <f>IF(J29=0,"",
 IF(J29&lt;3,"FAIL – pick 3–5 players",
 IF(J29&gt;5,"FAIL – pick 3–5 players",
 IF(J30&gt;80,"FAIL – over budget",
 IF(AVERAGEIF($A$28:$A$35, TRUE, $C$28:$C$35)&lt;0.05,"FAIL – EPA too low",
 IF(AVERAGEIF($A$28:$A$35, TRUE, $D$28:$D$35)&lt;1,"FAIL – CPOE too low",
 IF(AVERAGEIF($A$28:$A$35, TRUE, $E$28:$E$35)&lt;48,"FAIL – Success Rate too low",
 "PASS ✅"
 )))))))
</f>
        <v/>
      </c>
    </row>
    <row r="33">
      <c r="A33" s="1" t="b">
        <v>0</v>
      </c>
      <c r="B33" s="1" t="s">
        <v>55</v>
      </c>
      <c r="C33" s="1">
        <v>0.09</v>
      </c>
      <c r="D33" s="1">
        <v>1.4</v>
      </c>
      <c r="E33" s="1">
        <v>50.0</v>
      </c>
      <c r="F33" s="1">
        <v>6.0</v>
      </c>
      <c r="G33" s="1">
        <v>28.0</v>
      </c>
      <c r="H33" s="1">
        <v>12.0</v>
      </c>
    </row>
    <row r="34">
      <c r="A34" s="1" t="b">
        <v>0</v>
      </c>
      <c r="B34" s="1" t="s">
        <v>56</v>
      </c>
      <c r="C34" s="1">
        <v>0.07</v>
      </c>
      <c r="D34" s="1">
        <v>2.2</v>
      </c>
      <c r="E34" s="1">
        <v>48.0</v>
      </c>
      <c r="F34" s="1">
        <v>10.0</v>
      </c>
      <c r="G34" s="1">
        <v>23.0</v>
      </c>
      <c r="H34" s="1">
        <v>7.0</v>
      </c>
    </row>
    <row r="35">
      <c r="A35" s="1" t="b">
        <v>0</v>
      </c>
      <c r="B35" s="1" t="s">
        <v>57</v>
      </c>
      <c r="C35" s="1">
        <v>0.13</v>
      </c>
      <c r="D35" s="1">
        <v>5.1</v>
      </c>
      <c r="E35" s="1">
        <v>55.0</v>
      </c>
      <c r="F35" s="1">
        <v>25.0</v>
      </c>
      <c r="G35" s="1">
        <v>29.0</v>
      </c>
      <c r="H35" s="1">
        <v>22.0</v>
      </c>
    </row>
  </sheetData>
  <mergeCells count="1">
    <mergeCell ref="B1:I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B4" s="1" t="s">
        <v>58</v>
      </c>
    </row>
  </sheetData>
  <drawing r:id="rId1"/>
</worksheet>
</file>